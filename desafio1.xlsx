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izalopes/Documents/DIO/Bootcamp_Santander_Excel_IA/"/>
    </mc:Choice>
  </mc:AlternateContent>
  <xr:revisionPtr revIDLastSave="0" documentId="13_ncr:1_{AC6533F7-451E-854F-8732-A2F5B2B01C3B}" xr6:coauthVersionLast="47" xr6:coauthVersionMax="47" xr10:uidLastSave="{00000000-0000-0000-0000-000000000000}"/>
  <bookViews>
    <workbookView xWindow="0" yWindow="0" windowWidth="44800" windowHeight="25200" activeTab="1" xr2:uid="{1B38ABC3-1C1C-D94E-B296-1CCB991ADED1}"/>
  </bookViews>
  <sheets>
    <sheet name="App (2)" sheetId="3" r:id="rId1"/>
    <sheet name="App" sheetId="1" r:id="rId2"/>
    <sheet name="Apoio" sheetId="2" r:id="rId3"/>
  </sheets>
  <definedNames>
    <definedName name="aporte" localSheetId="0">'App (2)'!$C$11</definedName>
    <definedName name="aporte">App!$C$10</definedName>
    <definedName name="dividendos" localSheetId="0">'App (2)'!$C$15</definedName>
    <definedName name="dividendos">App!$C$14</definedName>
    <definedName name="gvhj3" localSheetId="0">'App (2)'!$C$27</definedName>
    <definedName name="gvhj3">App!$C$26</definedName>
    <definedName name="patrimonio_acumulado" localSheetId="0">'App (2)'!$C$14</definedName>
    <definedName name="patrimonio_acumulado">App!$C$13</definedName>
    <definedName name="perfikl" localSheetId="0">'App (2)'!$C$27</definedName>
    <definedName name="perfikl">App!$C$26</definedName>
    <definedName name="perfil" localSheetId="0">'App (2)'!$C$27</definedName>
    <definedName name="perfil">App!$C$26</definedName>
    <definedName name="periodo" localSheetId="0">'App (2)'!$C$12</definedName>
    <definedName name="periodo">App!$C$11</definedName>
    <definedName name="rendimento_carteira" localSheetId="0">'App (2)'!$C$7</definedName>
    <definedName name="rendimento_carteira">App!$C$6</definedName>
    <definedName name="taxa" localSheetId="0">'App (2)'!$C$13</definedName>
    <definedName name="taxa">App!$C$12</definedName>
    <definedName name="taxa_" localSheetId="0">'App (2)'!$C$13</definedName>
    <definedName name="taxa_">App!$C$12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3" l="1"/>
  <c r="D35" i="3" s="1"/>
  <c r="C34" i="3"/>
  <c r="D34" i="3" s="1"/>
  <c r="C33" i="3"/>
  <c r="D33" i="3" s="1"/>
  <c r="C32" i="3"/>
  <c r="D32" i="3" s="1"/>
  <c r="C31" i="3"/>
  <c r="D31" i="3" s="1"/>
  <c r="C30" i="3"/>
  <c r="D30" i="3" s="1"/>
  <c r="C8" i="3"/>
  <c r="C30" i="1"/>
  <c r="D30" i="1" s="1"/>
  <c r="C31" i="1"/>
  <c r="D31" i="1" s="1"/>
  <c r="C32" i="1"/>
  <c r="D32" i="1" s="1"/>
  <c r="C33" i="1"/>
  <c r="D33" i="1" s="1"/>
  <c r="C34" i="1"/>
  <c r="D34" i="1" s="1"/>
  <c r="C29" i="1"/>
  <c r="D29" i="1" s="1"/>
  <c r="F5" i="2"/>
  <c r="C20" i="1" s="1"/>
  <c r="D20" i="1" s="1"/>
  <c r="C4" i="2"/>
  <c r="C7" i="1"/>
  <c r="H4" i="2"/>
  <c r="H5" i="2"/>
  <c r="C23" i="3" s="1"/>
  <c r="D23" i="3" s="1"/>
  <c r="H6" i="2"/>
  <c r="H7" i="2"/>
  <c r="G4" i="2"/>
  <c r="E4" i="2"/>
  <c r="F4" i="2"/>
  <c r="E5" i="2"/>
  <c r="C19" i="1" s="1"/>
  <c r="G5" i="2"/>
  <c r="C21" i="1" s="1"/>
  <c r="D21" i="1" s="1"/>
  <c r="E6" i="2"/>
  <c r="F6" i="2"/>
  <c r="G6" i="2"/>
  <c r="E7" i="2"/>
  <c r="F7" i="2"/>
  <c r="G7" i="2"/>
  <c r="D7" i="2"/>
  <c r="D6" i="2"/>
  <c r="D5" i="2"/>
  <c r="C18" i="1" s="1"/>
  <c r="D18" i="1" s="1"/>
  <c r="D4" i="2"/>
  <c r="C6" i="2"/>
  <c r="C5" i="2"/>
  <c r="C13" i="1" s="1"/>
  <c r="C14" i="1" s="1"/>
  <c r="C7" i="2"/>
  <c r="C22" i="1" l="1"/>
  <c r="D22" i="1" s="1"/>
  <c r="C14" i="3"/>
  <c r="C15" i="3" s="1"/>
  <c r="C22" i="3"/>
  <c r="D22" i="3" s="1"/>
  <c r="C21" i="3"/>
  <c r="D21" i="3" s="1"/>
  <c r="C19" i="3"/>
  <c r="D19" i="3" s="1"/>
  <c r="C20" i="3"/>
  <c r="D20" i="3" s="1"/>
  <c r="D19" i="1"/>
</calcChain>
</file>

<file path=xl/sharedStrings.xml><?xml version="1.0" encoding="utf-8"?>
<sst xmlns="http://schemas.openxmlformats.org/spreadsheetml/2006/main" count="94" uniqueCount="63">
  <si>
    <t>Por quanto tempo?</t>
  </si>
  <si>
    <t>Qual a taxa?</t>
  </si>
  <si>
    <t>Patrimônio Acumulado</t>
  </si>
  <si>
    <t>Dividendos Mensais</t>
  </si>
  <si>
    <t>Mensal</t>
  </si>
  <si>
    <t>Anos</t>
  </si>
  <si>
    <t>Anos-Mensal</t>
  </si>
  <si>
    <t>Meses-Mensal</t>
  </si>
  <si>
    <t>Anos-Anual</t>
  </si>
  <si>
    <t>Meses-Anual</t>
  </si>
  <si>
    <t>Quanto vou investir?</t>
  </si>
  <si>
    <t>Patrimonio Acumulado em 2 anos</t>
  </si>
  <si>
    <t>Patrimonio Acumulado em 5 anos</t>
  </si>
  <si>
    <t>Patrimonio Acumulado em 10 anos</t>
  </si>
  <si>
    <t>Patrimonio Acumulado em 20 anos</t>
  </si>
  <si>
    <t>Patrimonio Acumulado em 30 anos</t>
  </si>
  <si>
    <t>Salário</t>
  </si>
  <si>
    <t>Rendimento Mensal Carteira</t>
  </si>
  <si>
    <t>Sugestão investimento (25%)</t>
  </si>
  <si>
    <t>Acumulado</t>
  </si>
  <si>
    <t>Personalificação</t>
  </si>
  <si>
    <t>Estimativa</t>
  </si>
  <si>
    <t>Papel</t>
  </si>
  <si>
    <t>Tijolo</t>
  </si>
  <si>
    <t>Hibrído</t>
  </si>
  <si>
    <t>Desenvolvimento</t>
  </si>
  <si>
    <t>Hotelaria</t>
  </si>
  <si>
    <t>FOFs</t>
  </si>
  <si>
    <t>Tipos</t>
  </si>
  <si>
    <t xml:space="preserve">Sugestão </t>
  </si>
  <si>
    <t>Investir</t>
  </si>
  <si>
    <t>Percentual</t>
  </si>
  <si>
    <t>Perfil de Investimento</t>
  </si>
  <si>
    <t>Conservador</t>
  </si>
  <si>
    <t>Patr. Acumul.</t>
  </si>
  <si>
    <t>Patr. Acumul. 2 anos</t>
  </si>
  <si>
    <t>Patr. Acumul. 5 anos</t>
  </si>
  <si>
    <t>Patr. Acumul. 5 anos2</t>
  </si>
  <si>
    <t>Patr. Acumul. 20 anos</t>
  </si>
  <si>
    <t>Patr. Acumul. 30 anos</t>
  </si>
  <si>
    <t>Conservador-Papel</t>
  </si>
  <si>
    <t>Conservador-Tijolo</t>
  </si>
  <si>
    <t>Conservador-Hibrído</t>
  </si>
  <si>
    <t>Conservador-Desenvolvimento</t>
  </si>
  <si>
    <t>Conservador-FOFs</t>
  </si>
  <si>
    <t>Conservador-Hotelaria</t>
  </si>
  <si>
    <t>Moderado-Papel</t>
  </si>
  <si>
    <t>Moderado-Tijolo</t>
  </si>
  <si>
    <t>Moderado-Hibrído</t>
  </si>
  <si>
    <t>Moderado-Desenvolvimento</t>
  </si>
  <si>
    <t>Moderado-FOFs</t>
  </si>
  <si>
    <t>Moderado-Hotelaria</t>
  </si>
  <si>
    <t>Chave</t>
  </si>
  <si>
    <t>Agressivo-Papel</t>
  </si>
  <si>
    <t>Agressivo-Tijolo</t>
  </si>
  <si>
    <t>Agressivo-Hibrído</t>
  </si>
  <si>
    <t>Agressivo-FOFs</t>
  </si>
  <si>
    <t>Agressivo-Desenvolvimento</t>
  </si>
  <si>
    <t>Agressivo-Hotelaria</t>
  </si>
  <si>
    <t>Qual a taxa de valorização?</t>
  </si>
  <si>
    <t xml:space="preserve">Rendimento Mensal </t>
  </si>
  <si>
    <t xml:space="preserve">Carteira </t>
  </si>
  <si>
    <t>CALCULADORA DE
 INVESTIMENTOS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</si>
</sst>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24"/>
      <color theme="1" tint="0.249977111117893"/>
      <name val="Aptos"/>
    </font>
    <font>
      <sz val="12"/>
      <color theme="1"/>
      <name val="Aptos"/>
    </font>
    <font>
      <sz val="12"/>
      <color rgb="FFFFC000"/>
      <name val="Aptos"/>
    </font>
    <font>
      <sz val="12"/>
      <color theme="7"/>
      <name val="Aptos"/>
    </font>
    <font>
      <sz val="8"/>
      <name val="Calibri"/>
      <family val="2"/>
      <scheme val="minor"/>
    </font>
    <font>
      <sz val="12"/>
      <color theme="2" tint="-0.89999084444715716"/>
      <name val="Calibri"/>
      <family val="2"/>
      <scheme val="minor"/>
    </font>
    <font>
      <b/>
      <sz val="24"/>
      <color theme="1" tint="0.14999847407452621"/>
      <name val="Aptos"/>
    </font>
    <font>
      <b/>
      <sz val="12"/>
      <color theme="1" tint="0.1499984740745262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 style="thick">
        <color theme="1"/>
      </right>
      <top/>
      <bottom/>
      <diagonal/>
    </border>
    <border>
      <left/>
      <right/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n">
        <color theme="2" tint="-0.249977111117893"/>
      </right>
      <top style="thick">
        <color theme="1"/>
      </top>
      <bottom/>
      <diagonal/>
    </border>
    <border>
      <left style="thick">
        <color theme="1"/>
      </left>
      <right style="thin">
        <color theme="2" tint="-0.249977111117893"/>
      </right>
      <top/>
      <bottom/>
      <diagonal/>
    </border>
    <border>
      <left/>
      <right style="thick">
        <color theme="1"/>
      </right>
      <top style="thin">
        <color theme="2" tint="-0.249977111117893"/>
      </top>
      <bottom/>
      <diagonal/>
    </border>
    <border>
      <left style="thick">
        <color theme="1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ck">
        <color theme="1"/>
      </left>
      <right style="thin">
        <color theme="2" tint="-0.249977111117893"/>
      </right>
      <top/>
      <bottom style="thick">
        <color theme="1"/>
      </bottom>
      <diagonal/>
    </border>
    <border>
      <left style="thick">
        <color theme="1"/>
      </left>
      <right style="thin">
        <color theme="2" tint="-0.249977111117893"/>
      </right>
      <top style="thick">
        <color theme="1"/>
      </top>
      <bottom style="thin">
        <color theme="2" tint="-0.249977111117893"/>
      </bottom>
      <diagonal/>
    </border>
    <border>
      <left/>
      <right style="thick">
        <color theme="1"/>
      </right>
      <top style="thick">
        <color theme="1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medium">
        <color theme="1"/>
      </left>
      <right style="thin">
        <color theme="2" tint="-0.249977111117893"/>
      </right>
      <top style="medium">
        <color theme="1"/>
      </top>
      <bottom style="medium">
        <color theme="1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ck">
        <color theme="1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ck">
        <color theme="1"/>
      </bottom>
      <diagonal/>
    </border>
    <border>
      <left style="thin">
        <color theme="2" tint="-0.249977111117893"/>
      </left>
      <right/>
      <top/>
      <bottom style="thick">
        <color theme="1"/>
      </bottom>
      <diagonal/>
    </border>
    <border>
      <left style="thin">
        <color theme="2" tint="-0.249977111117893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7"/>
      </left>
      <right/>
      <top style="medium">
        <color theme="7"/>
      </top>
      <bottom style="medium">
        <color theme="7"/>
      </bottom>
      <diagonal/>
    </border>
    <border>
      <left/>
      <right/>
      <top style="medium">
        <color theme="7"/>
      </top>
      <bottom style="medium">
        <color theme="7"/>
      </bottom>
      <diagonal/>
    </border>
    <border>
      <left/>
      <right style="medium">
        <color theme="7"/>
      </right>
      <top style="medium">
        <color theme="7"/>
      </top>
      <bottom style="medium">
        <color theme="7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85">
    <xf numFmtId="0" fontId="0" fillId="0" borderId="0" xfId="0"/>
    <xf numFmtId="9" fontId="0" fillId="0" borderId="0" xfId="2" applyFont="1"/>
    <xf numFmtId="164" fontId="0" fillId="0" borderId="0" xfId="0" applyNumberFormat="1"/>
    <xf numFmtId="9" fontId="0" fillId="0" borderId="0" xfId="2" applyFont="1" applyBorder="1"/>
    <xf numFmtId="0" fontId="0" fillId="0" borderId="4" xfId="0" applyBorder="1"/>
    <xf numFmtId="0" fontId="0" fillId="0" borderId="17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7" borderId="0" xfId="0" applyFont="1" applyFill="1"/>
    <xf numFmtId="9" fontId="6" fillId="7" borderId="15" xfId="2" applyFont="1" applyFill="1" applyBorder="1"/>
    <xf numFmtId="164" fontId="6" fillId="0" borderId="0" xfId="1" applyNumberFormat="1" applyFont="1" applyBorder="1" applyAlignment="1">
      <alignment horizontal="center"/>
    </xf>
    <xf numFmtId="164" fontId="6" fillId="0" borderId="0" xfId="1" applyNumberFormat="1" applyFont="1" applyAlignment="1">
      <alignment horizontal="center"/>
    </xf>
    <xf numFmtId="164" fontId="1" fillId="8" borderId="18" xfId="4" applyNumberForma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19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8" fillId="10" borderId="9" xfId="0" applyFont="1" applyFill="1" applyBorder="1"/>
    <xf numFmtId="164" fontId="1" fillId="8" borderId="3" xfId="4" applyNumberFormat="1" applyFill="1" applyBorder="1" applyAlignment="1">
      <alignment horizontal="center"/>
    </xf>
    <xf numFmtId="0" fontId="8" fillId="10" borderId="12" xfId="0" applyFont="1" applyFill="1" applyBorder="1"/>
    <xf numFmtId="164" fontId="1" fillId="8" borderId="20" xfId="4" applyNumberFormat="1" applyFill="1" applyBorder="1" applyAlignment="1">
      <alignment horizontal="center"/>
    </xf>
    <xf numFmtId="164" fontId="1" fillId="8" borderId="6" xfId="4" applyNumberFormat="1" applyFill="1" applyBorder="1" applyAlignment="1">
      <alignment horizontal="center"/>
    </xf>
    <xf numFmtId="0" fontId="6" fillId="6" borderId="8" xfId="0" applyFont="1" applyFill="1" applyBorder="1"/>
    <xf numFmtId="0" fontId="6" fillId="6" borderId="9" xfId="0" applyFont="1" applyFill="1" applyBorder="1"/>
    <xf numFmtId="0" fontId="6" fillId="7" borderId="3" xfId="0" applyFont="1" applyFill="1" applyBorder="1"/>
    <xf numFmtId="0" fontId="6" fillId="6" borderId="11" xfId="0" applyFont="1" applyFill="1" applyBorder="1"/>
    <xf numFmtId="0" fontId="8" fillId="4" borderId="9" xfId="0" applyFont="1" applyFill="1" applyBorder="1"/>
    <xf numFmtId="0" fontId="8" fillId="4" borderId="12" xfId="0" applyFont="1" applyFill="1" applyBorder="1"/>
    <xf numFmtId="0" fontId="6" fillId="6" borderId="8" xfId="3" applyFont="1" applyFill="1" applyBorder="1"/>
    <xf numFmtId="0" fontId="6" fillId="6" borderId="9" xfId="3" applyFont="1" applyFill="1" applyBorder="1"/>
    <xf numFmtId="0" fontId="6" fillId="6" borderId="12" xfId="3" applyFont="1" applyFill="1" applyBorder="1"/>
    <xf numFmtId="0" fontId="6" fillId="6" borderId="16" xfId="3" applyFont="1" applyFill="1" applyBorder="1"/>
    <xf numFmtId="0" fontId="3" fillId="9" borderId="24" xfId="0" applyFont="1" applyFill="1" applyBorder="1"/>
    <xf numFmtId="0" fontId="10" fillId="8" borderId="0" xfId="0" applyFont="1" applyFill="1"/>
    <xf numFmtId="0" fontId="10" fillId="8" borderId="2" xfId="0" applyFont="1" applyFill="1" applyBorder="1"/>
    <xf numFmtId="0" fontId="10" fillId="8" borderId="1" xfId="0" applyFont="1" applyFill="1" applyBorder="1"/>
    <xf numFmtId="9" fontId="0" fillId="0" borderId="2" xfId="2" applyFont="1" applyBorder="1"/>
    <xf numFmtId="9" fontId="0" fillId="0" borderId="1" xfId="2" applyFont="1" applyBorder="1"/>
    <xf numFmtId="9" fontId="1" fillId="8" borderId="18" xfId="2" applyFill="1" applyBorder="1" applyAlignment="1">
      <alignment horizontal="center"/>
    </xf>
    <xf numFmtId="9" fontId="1" fillId="8" borderId="20" xfId="2" applyFill="1" applyBorder="1" applyAlignment="1">
      <alignment horizontal="center"/>
    </xf>
    <xf numFmtId="0" fontId="7" fillId="7" borderId="22" xfId="3" applyNumberFormat="1" applyFont="1" applyFill="1" applyBorder="1" applyAlignment="1">
      <alignment horizontal="center"/>
    </xf>
    <xf numFmtId="0" fontId="7" fillId="7" borderId="23" xfId="3" applyNumberFormat="1" applyFont="1" applyFill="1" applyBorder="1" applyAlignment="1">
      <alignment horizontal="center"/>
    </xf>
    <xf numFmtId="164" fontId="7" fillId="7" borderId="4" xfId="3" applyNumberFormat="1" applyFont="1" applyFill="1" applyBorder="1" applyAlignment="1">
      <alignment horizontal="center"/>
    </xf>
    <xf numFmtId="164" fontId="7" fillId="7" borderId="7" xfId="3" applyNumberFormat="1" applyFont="1" applyFill="1" applyBorder="1" applyAlignment="1">
      <alignment horizontal="center"/>
    </xf>
    <xf numFmtId="9" fontId="7" fillId="7" borderId="0" xfId="3" applyNumberFormat="1" applyFont="1" applyFill="1" applyBorder="1" applyAlignment="1">
      <alignment horizontal="center"/>
    </xf>
    <xf numFmtId="9" fontId="7" fillId="7" borderId="3" xfId="3" applyNumberFormat="1" applyFont="1" applyFill="1" applyBorder="1" applyAlignment="1">
      <alignment horizontal="center"/>
    </xf>
    <xf numFmtId="164" fontId="7" fillId="7" borderId="5" xfId="3" applyNumberFormat="1" applyFont="1" applyFill="1" applyBorder="1" applyAlignment="1">
      <alignment horizontal="center"/>
    </xf>
    <xf numFmtId="164" fontId="7" fillId="7" borderId="6" xfId="3" applyNumberFormat="1" applyFont="1" applyFill="1" applyBorder="1" applyAlignment="1">
      <alignment horizontal="center"/>
    </xf>
    <xf numFmtId="164" fontId="6" fillId="7" borderId="4" xfId="0" applyNumberFormat="1" applyFont="1" applyFill="1" applyBorder="1" applyAlignment="1">
      <alignment horizontal="center"/>
    </xf>
    <xf numFmtId="164" fontId="6" fillId="7" borderId="7" xfId="0" applyNumberFormat="1" applyFont="1" applyFill="1" applyBorder="1" applyAlignment="1">
      <alignment horizontal="center"/>
    </xf>
    <xf numFmtId="164" fontId="8" fillId="5" borderId="17" xfId="1" applyNumberFormat="1" applyFont="1" applyFill="1" applyBorder="1" applyAlignment="1">
      <alignment horizontal="center"/>
    </xf>
    <xf numFmtId="164" fontId="8" fillId="5" borderId="10" xfId="1" applyNumberFormat="1" applyFont="1" applyFill="1" applyBorder="1" applyAlignment="1">
      <alignment horizontal="center"/>
    </xf>
    <xf numFmtId="164" fontId="8" fillId="5" borderId="21" xfId="1" applyNumberFormat="1" applyFont="1" applyFill="1" applyBorder="1" applyAlignment="1">
      <alignment horizontal="center"/>
    </xf>
    <xf numFmtId="164" fontId="8" fillId="5" borderId="6" xfId="1" applyNumberFormat="1" applyFont="1" applyFill="1" applyBorder="1" applyAlignment="1">
      <alignment horizontal="center"/>
    </xf>
    <xf numFmtId="0" fontId="11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5" fillId="11" borderId="0" xfId="0" applyFont="1" applyFill="1"/>
    <xf numFmtId="0" fontId="0" fillId="11" borderId="0" xfId="0" applyFill="1"/>
    <xf numFmtId="0" fontId="6" fillId="11" borderId="0" xfId="0" applyFont="1" applyFill="1"/>
    <xf numFmtId="0" fontId="0" fillId="11" borderId="17" xfId="0" applyFill="1" applyBorder="1"/>
    <xf numFmtId="0" fontId="0" fillId="11" borderId="0" xfId="0" applyFill="1" applyBorder="1"/>
    <xf numFmtId="0" fontId="4" fillId="11" borderId="0" xfId="0" applyFont="1" applyFill="1"/>
    <xf numFmtId="164" fontId="7" fillId="12" borderId="4" xfId="3" applyNumberFormat="1" applyFont="1" applyFill="1" applyBorder="1" applyAlignment="1">
      <alignment horizontal="center"/>
    </xf>
    <xf numFmtId="164" fontId="7" fillId="12" borderId="7" xfId="3" applyNumberFormat="1" applyFont="1" applyFill="1" applyBorder="1" applyAlignment="1">
      <alignment horizontal="center"/>
    </xf>
    <xf numFmtId="9" fontId="7" fillId="12" borderId="0" xfId="3" applyNumberFormat="1" applyFont="1" applyFill="1" applyBorder="1" applyAlignment="1">
      <alignment horizontal="center"/>
    </xf>
    <xf numFmtId="9" fontId="7" fillId="12" borderId="3" xfId="3" applyNumberFormat="1" applyFont="1" applyFill="1" applyBorder="1" applyAlignment="1">
      <alignment horizontal="center"/>
    </xf>
    <xf numFmtId="164" fontId="7" fillId="12" borderId="5" xfId="3" applyNumberFormat="1" applyFont="1" applyFill="1" applyBorder="1" applyAlignment="1">
      <alignment horizontal="center"/>
    </xf>
    <xf numFmtId="164" fontId="7" fillId="12" borderId="6" xfId="3" applyNumberFormat="1" applyFont="1" applyFill="1" applyBorder="1" applyAlignment="1">
      <alignment horizontal="center"/>
    </xf>
    <xf numFmtId="164" fontId="6" fillId="12" borderId="4" xfId="0" applyNumberFormat="1" applyFont="1" applyFill="1" applyBorder="1" applyAlignment="1">
      <alignment horizontal="center"/>
    </xf>
    <xf numFmtId="164" fontId="6" fillId="12" borderId="7" xfId="0" applyNumberFormat="1" applyFont="1" applyFill="1" applyBorder="1" applyAlignment="1">
      <alignment horizontal="center"/>
    </xf>
    <xf numFmtId="0" fontId="6" fillId="12" borderId="0" xfId="0" applyFont="1" applyFill="1"/>
    <xf numFmtId="0" fontId="6" fillId="12" borderId="3" xfId="0" applyFont="1" applyFill="1" applyBorder="1"/>
    <xf numFmtId="9" fontId="6" fillId="12" borderId="15" xfId="2" applyFont="1" applyFill="1" applyBorder="1"/>
    <xf numFmtId="0" fontId="7" fillId="12" borderId="22" xfId="3" applyNumberFormat="1" applyFont="1" applyFill="1" applyBorder="1" applyAlignment="1">
      <alignment horizontal="center"/>
    </xf>
    <xf numFmtId="0" fontId="7" fillId="12" borderId="23" xfId="3" applyNumberFormat="1" applyFont="1" applyFill="1" applyBorder="1" applyAlignment="1">
      <alignment horizontal="center"/>
    </xf>
    <xf numFmtId="0" fontId="0" fillId="13" borderId="0" xfId="0" applyFill="1"/>
    <xf numFmtId="0" fontId="6" fillId="13" borderId="0" xfId="0" applyFont="1" applyFill="1"/>
    <xf numFmtId="164" fontId="6" fillId="13" borderId="0" xfId="1" applyNumberFormat="1" applyFont="1" applyFill="1" applyBorder="1" applyAlignment="1">
      <alignment horizontal="center"/>
    </xf>
    <xf numFmtId="164" fontId="6" fillId="13" borderId="0" xfId="1" applyNumberFormat="1" applyFont="1" applyFill="1" applyAlignment="1">
      <alignment horizontal="center"/>
    </xf>
    <xf numFmtId="0" fontId="0" fillId="14" borderId="0" xfId="0" applyFill="1"/>
    <xf numFmtId="0" fontId="4" fillId="14" borderId="0" xfId="0" applyFont="1" applyFill="1"/>
    <xf numFmtId="0" fontId="0" fillId="14" borderId="4" xfId="0" applyFill="1" applyBorder="1"/>
    <xf numFmtId="0" fontId="5" fillId="14" borderId="0" xfId="0" applyFont="1" applyFill="1"/>
    <xf numFmtId="0" fontId="6" fillId="14" borderId="0" xfId="0" applyFont="1" applyFill="1"/>
  </cellXfs>
  <cellStyles count="5">
    <cellStyle name="40% - Ênfase4" xfId="4" builtinId="43"/>
    <cellStyle name="Moeda" xfId="1" builtinId="4"/>
    <cellStyle name="Neutro" xfId="3" builtinId="28"/>
    <cellStyle name="Normal" xfId="0" builtinId="0"/>
    <cellStyle name="Porcentagem" xfId="2" builtinId="5"/>
  </cellStyles>
  <dxfs count="8">
    <dxf>
      <font>
        <strike val="0"/>
        <outline val="0"/>
        <shadow val="0"/>
        <u val="none"/>
        <vertAlign val="baseline"/>
        <sz val="12"/>
        <color theme="2" tint="-0.89999084444715716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89999084444715716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837773403324584"/>
          <c:y val="0.18960520559930008"/>
          <c:w val="0.42270997375328079"/>
          <c:h val="0.70451662292213468"/>
        </c:manualLayout>
      </c:layout>
      <c:pieChart>
        <c:varyColors val="1"/>
        <c:ser>
          <c:idx val="0"/>
          <c:order val="0"/>
          <c:tx>
            <c:strRef>
              <c:f>'App (2)'!$C$29</c:f>
              <c:strCache>
                <c:ptCount val="1"/>
                <c:pt idx="0">
                  <c:v>Percentual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BF-1A42-878B-14DAC8EC4D04}"/>
              </c:ext>
            </c:extLst>
          </c:dPt>
          <c:dPt>
            <c:idx val="1"/>
            <c:bubble3D val="0"/>
            <c:spPr>
              <a:solidFill>
                <a:schemeClr val="accent4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BF-1A42-878B-14DAC8EC4D04}"/>
              </c:ext>
            </c:extLst>
          </c:dPt>
          <c:dPt>
            <c:idx val="2"/>
            <c:bubble3D val="0"/>
            <c:spPr>
              <a:solidFill>
                <a:schemeClr val="accent4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F-1A42-878B-14DAC8EC4D04}"/>
              </c:ext>
            </c:extLst>
          </c:dPt>
          <c:dPt>
            <c:idx val="3"/>
            <c:bubble3D val="0"/>
            <c:spPr>
              <a:solidFill>
                <a:schemeClr val="accent4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BF-1A42-878B-14DAC8EC4D04}"/>
              </c:ext>
            </c:extLst>
          </c:dPt>
          <c:dPt>
            <c:idx val="4"/>
            <c:bubble3D val="0"/>
            <c:spPr>
              <a:solidFill>
                <a:schemeClr val="accent4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BF-1A42-878B-14DAC8EC4D04}"/>
              </c:ext>
            </c:extLst>
          </c:dPt>
          <c:dPt>
            <c:idx val="5"/>
            <c:bubble3D val="0"/>
            <c:spPr>
              <a:solidFill>
                <a:schemeClr val="accent4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1BF-1A42-878B-14DAC8EC4D0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3ADD732-A2D3-4D42-A2C6-F03A570A122D}" type="PERCENTAGE">
                      <a:rPr lang="en-US"/>
                      <a:pPr/>
                      <a:t>[PORCENTAGEM]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1BF-1A42-878B-14DAC8EC4D0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9E6ABDF-43E0-9846-BE2F-C3558164BED2}" type="PERCENTAGE">
                      <a:rPr lang="en-US"/>
                      <a:pPr/>
                      <a:t>[PORCENTAGEM]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1BF-1A42-878B-14DAC8EC4D0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0D89EB2-26F6-724F-8F8F-338447999DEC}" type="PERCENTAGE">
                      <a:rPr lang="en-US"/>
                      <a:pPr/>
                      <a:t>[PORCENTAGEM]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1BF-1A42-878B-14DAC8EC4D0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48D9A30-E7DF-C04F-95EF-E713C3114972}" type="PERCENTAGE">
                      <a:rPr lang="en-US"/>
                      <a:pPr/>
                      <a:t>[PORCENTAGEM]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1BF-1A42-878B-14DAC8EC4D0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6535A9E-BF28-E249-85C1-E72A558A6D9D}" type="PERCENTAGE">
                      <a:rPr lang="en-US"/>
                      <a:pPr/>
                      <a:t>[PORCENTAGEM]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1BF-1A42-878B-14DAC8EC4D0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D492413-ADFC-404A-A837-E1C415F0C747}" type="PERCENTAGE">
                      <a:rPr lang="en-US"/>
                      <a:pPr/>
                      <a:t>[PORCENTAGEM]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1BF-1A42-878B-14DAC8EC4D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'App (2)'!$B$30:$B$35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Hibrído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'App (2)'!$C$30:$C$35</c:f>
              <c:numCache>
                <c:formatCode>0%</c:formatCode>
                <c:ptCount val="6"/>
                <c:pt idx="0">
                  <c:v>0.3</c:v>
                </c:pt>
                <c:pt idx="1">
                  <c:v>0.6</c:v>
                </c:pt>
                <c:pt idx="2">
                  <c:v>0.05</c:v>
                </c:pt>
                <c:pt idx="3">
                  <c:v>0.05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{0\1}</c15:f>
              </c15:datalabelsRange>
            </c:ext>
            <c:ext xmlns:c16="http://schemas.microsoft.com/office/drawing/2014/chart" uri="{C3380CC4-5D6E-409C-BE32-E72D297353CC}">
              <c16:uniqueId val="{0000000C-71BF-1A42-878B-14DAC8EC4D04}"/>
            </c:ext>
          </c:extLst>
        </c:ser>
        <c:ser>
          <c:idx val="1"/>
          <c:order val="1"/>
          <c:tx>
            <c:strRef>
              <c:f>'App (2)'!$D$29</c:f>
              <c:strCache>
                <c:ptCount val="1"/>
                <c:pt idx="0">
                  <c:v>Investir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1BF-1A42-878B-14DAC8EC4D04}"/>
              </c:ext>
            </c:extLst>
          </c:dPt>
          <c:dPt>
            <c:idx val="1"/>
            <c:bubble3D val="0"/>
            <c:spPr>
              <a:solidFill>
                <a:schemeClr val="accent4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1BF-1A42-878B-14DAC8EC4D04}"/>
              </c:ext>
            </c:extLst>
          </c:dPt>
          <c:dPt>
            <c:idx val="2"/>
            <c:bubble3D val="0"/>
            <c:spPr>
              <a:solidFill>
                <a:schemeClr val="accent4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1BF-1A42-878B-14DAC8EC4D04}"/>
              </c:ext>
            </c:extLst>
          </c:dPt>
          <c:dPt>
            <c:idx val="3"/>
            <c:bubble3D val="0"/>
            <c:spPr>
              <a:solidFill>
                <a:schemeClr val="accent4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71BF-1A42-878B-14DAC8EC4D04}"/>
              </c:ext>
            </c:extLst>
          </c:dPt>
          <c:dPt>
            <c:idx val="4"/>
            <c:bubble3D val="0"/>
            <c:spPr>
              <a:solidFill>
                <a:schemeClr val="accent4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71BF-1A42-878B-14DAC8EC4D04}"/>
              </c:ext>
            </c:extLst>
          </c:dPt>
          <c:dPt>
            <c:idx val="5"/>
            <c:bubble3D val="0"/>
            <c:spPr>
              <a:solidFill>
                <a:schemeClr val="accent4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71BF-1A42-878B-14DAC8EC4D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'App (2)'!$B$30:$B$35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Hibrído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'App (2)'!$D$30:$D$35</c:f>
              <c:numCache>
                <c:formatCode>"R$"\ #,##0.00</c:formatCode>
                <c:ptCount val="6"/>
                <c:pt idx="0">
                  <c:v>150</c:v>
                </c:pt>
                <c:pt idx="1">
                  <c:v>300</c:v>
                </c:pt>
                <c:pt idx="2">
                  <c:v>25</c:v>
                </c:pt>
                <c:pt idx="3">
                  <c:v>25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1BF-1A42-878B-14DAC8EC4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837773403324584"/>
          <c:y val="0.18960520559930008"/>
          <c:w val="0.42270997375328079"/>
          <c:h val="0.70451662292213468"/>
        </c:manualLayout>
      </c:layout>
      <c:pieChart>
        <c:varyColors val="1"/>
        <c:ser>
          <c:idx val="0"/>
          <c:order val="0"/>
          <c:tx>
            <c:strRef>
              <c:f>App!$C$28</c:f>
              <c:strCache>
                <c:ptCount val="1"/>
                <c:pt idx="0">
                  <c:v>Percentual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352-E746-B07B-BE272BEFF2A0}"/>
              </c:ext>
            </c:extLst>
          </c:dPt>
          <c:dPt>
            <c:idx val="1"/>
            <c:bubble3D val="0"/>
            <c:spPr>
              <a:solidFill>
                <a:schemeClr val="accent4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52-E746-B07B-BE272BEFF2A0}"/>
              </c:ext>
            </c:extLst>
          </c:dPt>
          <c:dPt>
            <c:idx val="2"/>
            <c:bubble3D val="0"/>
            <c:spPr>
              <a:solidFill>
                <a:schemeClr val="accent4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52-E746-B07B-BE272BEFF2A0}"/>
              </c:ext>
            </c:extLst>
          </c:dPt>
          <c:dPt>
            <c:idx val="3"/>
            <c:bubble3D val="0"/>
            <c:spPr>
              <a:solidFill>
                <a:schemeClr val="accent4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52-E746-B07B-BE272BEFF2A0}"/>
              </c:ext>
            </c:extLst>
          </c:dPt>
          <c:dPt>
            <c:idx val="4"/>
            <c:bubble3D val="0"/>
            <c:spPr>
              <a:solidFill>
                <a:schemeClr val="accent4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52-E746-B07B-BE272BEFF2A0}"/>
              </c:ext>
            </c:extLst>
          </c:dPt>
          <c:dPt>
            <c:idx val="5"/>
            <c:bubble3D val="0"/>
            <c:spPr>
              <a:solidFill>
                <a:schemeClr val="accent4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352-E746-B07B-BE272BEFF2A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5C12A57-97AC-FF4D-98D9-AE13F1B12C2D}" type="PERCENTAGE">
                      <a:rPr lang="en-US"/>
                      <a:pPr/>
                      <a:t>[PORCENTAGEM]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352-E746-B07B-BE272BEFF2A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35CD322-D80B-0444-A7D2-6D4E626D364F}" type="PERCENTAGE">
                      <a:rPr lang="en-US"/>
                      <a:pPr/>
                      <a:t>[PORCENTAGEM]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352-E746-B07B-BE272BEFF2A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528B621-0953-3841-BED9-EF2F9289D687}" type="PERCENTAGE">
                      <a:rPr lang="en-US"/>
                      <a:pPr/>
                      <a:t>[PORCENTAGEM]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352-E746-B07B-BE272BEFF2A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5C004AC-31C8-0545-96A7-8DB517C604F3}" type="PERCENTAGE">
                      <a:rPr lang="en-US"/>
                      <a:pPr/>
                      <a:t>[PORCENTAGEM]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352-E746-B07B-BE272BEFF2A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606C905-5E68-1D40-B255-AF0FAE11D508}" type="PERCENTAGE">
                      <a:rPr lang="en-US"/>
                      <a:pPr/>
                      <a:t>[PORCENTAGEM]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352-E746-B07B-BE272BEFF2A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799DA4C-1051-6443-9823-3534074D6CB6}" type="PERCENTAGE">
                      <a:rPr lang="en-US"/>
                      <a:pPr/>
                      <a:t>[PORCENTAGEM]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352-E746-B07B-BE272BEFF2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App!$B$29:$B$34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Hibrído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App!$C$29:$C$34</c:f>
              <c:numCache>
                <c:formatCode>0%</c:formatCode>
                <c:ptCount val="6"/>
                <c:pt idx="0">
                  <c:v>0.3</c:v>
                </c:pt>
                <c:pt idx="1">
                  <c:v>0.6</c:v>
                </c:pt>
                <c:pt idx="2">
                  <c:v>0.05</c:v>
                </c:pt>
                <c:pt idx="3">
                  <c:v>0.05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{0\1}</c15:f>
              </c15:datalabelsRange>
            </c:ext>
            <c:ext xmlns:c16="http://schemas.microsoft.com/office/drawing/2014/chart" uri="{C3380CC4-5D6E-409C-BE32-E72D297353CC}">
              <c16:uniqueId val="{00000000-9352-E746-B07B-BE272BEFF2A0}"/>
            </c:ext>
          </c:extLst>
        </c:ser>
        <c:ser>
          <c:idx val="1"/>
          <c:order val="1"/>
          <c:tx>
            <c:strRef>
              <c:f>App!$D$28</c:f>
              <c:strCache>
                <c:ptCount val="1"/>
                <c:pt idx="0">
                  <c:v>Investir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5B6-5A42-A2C4-79EDDD21F77E}"/>
              </c:ext>
            </c:extLst>
          </c:dPt>
          <c:dPt>
            <c:idx val="1"/>
            <c:bubble3D val="0"/>
            <c:spPr>
              <a:solidFill>
                <a:schemeClr val="accent4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5B6-5A42-A2C4-79EDDD21F77E}"/>
              </c:ext>
            </c:extLst>
          </c:dPt>
          <c:dPt>
            <c:idx val="2"/>
            <c:bubble3D val="0"/>
            <c:spPr>
              <a:solidFill>
                <a:schemeClr val="accent4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5B6-5A42-A2C4-79EDDD21F77E}"/>
              </c:ext>
            </c:extLst>
          </c:dPt>
          <c:dPt>
            <c:idx val="3"/>
            <c:bubble3D val="0"/>
            <c:spPr>
              <a:solidFill>
                <a:schemeClr val="accent4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5B6-5A42-A2C4-79EDDD21F77E}"/>
              </c:ext>
            </c:extLst>
          </c:dPt>
          <c:dPt>
            <c:idx val="4"/>
            <c:bubble3D val="0"/>
            <c:spPr>
              <a:solidFill>
                <a:schemeClr val="accent4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5B6-5A42-A2C4-79EDDD21F77E}"/>
              </c:ext>
            </c:extLst>
          </c:dPt>
          <c:dPt>
            <c:idx val="5"/>
            <c:bubble3D val="0"/>
            <c:spPr>
              <a:solidFill>
                <a:schemeClr val="accent4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5B6-5A42-A2C4-79EDDD21F7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App!$B$29:$B$34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Hibrído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App!$D$29:$D$34</c:f>
              <c:numCache>
                <c:formatCode>"R$"\ #,##0.00</c:formatCode>
                <c:ptCount val="6"/>
                <c:pt idx="0">
                  <c:v>150</c:v>
                </c:pt>
                <c:pt idx="1">
                  <c:v>300</c:v>
                </c:pt>
                <c:pt idx="2">
                  <c:v>25</c:v>
                </c:pt>
                <c:pt idx="3">
                  <c:v>25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52-E746-B07B-BE272BEFF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388697</xdr:colOff>
      <xdr:row>36</xdr:row>
      <xdr:rowOff>129309</xdr:rowOff>
    </xdr:from>
    <xdr:to>
      <xdr:col>3</xdr:col>
      <xdr:colOff>1112212</xdr:colOff>
      <xdr:row>49</xdr:row>
      <xdr:rowOff>204226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192944-B238-1242-ACD2-8EB2CBD79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388697</xdr:colOff>
      <xdr:row>35</xdr:row>
      <xdr:rowOff>129309</xdr:rowOff>
    </xdr:from>
    <xdr:to>
      <xdr:col>3</xdr:col>
      <xdr:colOff>1112212</xdr:colOff>
      <xdr:row>48</xdr:row>
      <xdr:rowOff>204226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802330-39F3-FF48-C0B8-3AFC574EF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155059</xdr:colOff>
      <xdr:row>1</xdr:row>
      <xdr:rowOff>5003</xdr:rowOff>
    </xdr:from>
    <xdr:to>
      <xdr:col>1</xdr:col>
      <xdr:colOff>875024</xdr:colOff>
      <xdr:row>1</xdr:row>
      <xdr:rowOff>722485</xdr:rowOff>
    </xdr:to>
    <xdr:pic>
      <xdr:nvPicPr>
        <xdr:cNvPr id="3" name="Imagem 2" descr="Pig Bank With Coin Icon PNG &amp; SVG Design For T-Shirts">
          <a:extLst>
            <a:ext uri="{FF2B5EF4-FFF2-40B4-BE49-F238E27FC236}">
              <a16:creationId xmlns:a16="http://schemas.microsoft.com/office/drawing/2014/main" id="{F11424B6-A82F-54F2-0E44-8AF933EF3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6667" b="96000" l="9778" r="89778">
                      <a14:foregroundMark x1="57778" y1="12444" x2="57778" y2="12444"/>
                      <a14:foregroundMark x1="55111" y1="8889" x2="55111" y2="8889"/>
                      <a14:foregroundMark x1="47556" y1="7111" x2="47556" y2="7111"/>
                      <a14:foregroundMark x1="41778" y1="8000" x2="41778" y2="8000"/>
                      <a14:foregroundMark x1="50667" y1="12444" x2="50667" y2="12444"/>
                      <a14:foregroundMark x1="28444" y1="93333" x2="28444" y2="93333"/>
                      <a14:foregroundMark x1="44444" y1="64889" x2="44444" y2="64889"/>
                      <a14:foregroundMark x1="52889" y1="64889" x2="52889" y2="64889"/>
                      <a14:foregroundMark x1="70222" y1="94667" x2="70222" y2="94667"/>
                      <a14:foregroundMark x1="50222" y1="19111" x2="50222" y2="19111"/>
                      <a14:foregroundMark x1="50222" y1="19111" x2="50222" y2="19111"/>
                      <a14:foregroundMark x1="50222" y1="19111" x2="50222" y2="19111"/>
                      <a14:foregroundMark x1="49778" y1="19111" x2="49778" y2="19111"/>
                      <a14:foregroundMark x1="49778" y1="19111" x2="49778" y2="19111"/>
                      <a14:foregroundMark x1="49778" y1="19111" x2="49778" y2="19111"/>
                      <a14:foregroundMark x1="49778" y1="19111" x2="49778" y2="19111"/>
                      <a14:foregroundMark x1="49778" y1="19111" x2="49778" y2="19111"/>
                      <a14:foregroundMark x1="49778" y1="19111" x2="49778" y2="19111"/>
                      <a14:foregroundMark x1="49778" y1="19111" x2="49778" y2="19111"/>
                      <a14:foregroundMark x1="49778" y1="19111" x2="49778" y2="19111"/>
                      <a14:foregroundMark x1="49333" y1="19111" x2="49333" y2="19111"/>
                      <a14:foregroundMark x1="49333" y1="19111" x2="49333" y2="19111"/>
                      <a14:foregroundMark x1="49333" y1="19111" x2="49333" y2="19111"/>
                      <a14:foregroundMark x1="49333" y1="19111" x2="49333" y2="17333"/>
                      <a14:foregroundMark x1="49333" y1="16889" x2="49333" y2="16889"/>
                      <a14:foregroundMark x1="50222" y1="18222" x2="50222" y2="18222"/>
                      <a14:foregroundMark x1="27111" y1="96000" x2="27111" y2="96000"/>
                      <a14:backgroundMark x1="56000" y1="13333" x2="56000" y2="13333"/>
                      <a14:backgroundMark x1="56000" y1="13333" x2="56000" y2="13333"/>
                      <a14:backgroundMark x1="56444" y1="13778" x2="56444" y2="13778"/>
                      <a14:backgroundMark x1="56444" y1="13778" x2="56444" y2="13778"/>
                      <a14:backgroundMark x1="56000" y1="13778" x2="56000" y2="13778"/>
                      <a14:backgroundMark x1="56000" y1="13778" x2="56000" y2="13778"/>
                      <a14:backgroundMark x1="55556" y1="13778" x2="55556" y2="13778"/>
                      <a14:backgroundMark x1="55556" y1="13778" x2="55556" y2="13778"/>
                      <a14:backgroundMark x1="55556" y1="13778" x2="55556" y2="13778"/>
                      <a14:backgroundMark x1="55556" y1="13778" x2="55556" y2="13778"/>
                      <a14:backgroundMark x1="55556" y1="13778" x2="55556" y2="13778"/>
                      <a14:backgroundMark x1="56000" y1="13333" x2="56000" y2="13333"/>
                      <a14:backgroundMark x1="49333" y1="18222" x2="49333" y2="18222"/>
                      <a14:backgroundMark x1="50222" y1="18667" x2="50222" y2="186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470" y="223759"/>
          <a:ext cx="719965" cy="71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C39CC9-C567-734B-9533-D942028A4388}" name="tbl_patr_Acum" displayName="tbl_patr_Acum" ref="B3:H7" totalsRowShown="0">
  <autoFilter ref="B3:H7" xr:uid="{38C39CC9-C567-734B-9533-D942028A4388}"/>
  <tableColumns count="7">
    <tableColumn id="1" xr3:uid="{2C6927E8-D47F-8C43-BF02-9C5C7C402112}" name="Chave" dataDxfId="7"/>
    <tableColumn id="2" xr3:uid="{213602CF-D6CE-F04D-B7B0-1A7783AFF128}" name="Patr. Acumul." dataDxfId="6"/>
    <tableColumn id="3" xr3:uid="{3C71040B-8680-2C48-8117-220C79C0941E}" name="Patr. Acumul. 2 anos" dataDxfId="5"/>
    <tableColumn id="4" xr3:uid="{85A46C20-C0E1-F945-A9ED-E50C4C54A846}" name="Patr. Acumul. 5 anos" dataDxfId="4"/>
    <tableColumn id="5" xr3:uid="{8EE3602A-6E15-D646-B369-BFDA613DBD70}" name="Patr. Acumul. 5 anos2" dataDxfId="3"/>
    <tableColumn id="6" xr3:uid="{20AB90F2-DAEE-274D-92EB-970F2753327E}" name="Patr. Acumul. 20 anos" dataDxfId="2"/>
    <tableColumn id="7" xr3:uid="{05268826-A131-8544-ACE1-E29B470AB3B6}" name="Patr. Acumul. 30 anos" dataDxfId="1"/>
  </tableColumns>
  <tableStyleInfo name="TableStyleMedium19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4FC2E6-2270-B049-A8B8-A85706F7715E}" name="tbl_sugestao" displayName="tbl_sugestao" ref="B11:C29" totalsRowShown="0">
  <autoFilter ref="B11:C29" xr:uid="{8B4FC2E6-2270-B049-A8B8-A85706F7715E}"/>
  <tableColumns count="2">
    <tableColumn id="1" xr3:uid="{638F4D93-82CA-D843-B01F-8398FB8A7AB3}" name="Chave" dataDxfId="0"/>
    <tableColumn id="2" xr3:uid="{9A129390-DC76-D649-8E07-D8341700E4B7}" name="Percentual" dataCellStyle="Porcentagem"/>
  </tableColumns>
  <tableStyleInfo name="TableStyleMedium19" showFirstColumn="1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E6FD-92B6-AC45-9F1B-B3F2DBF108CB}">
  <dimension ref="A1:D36"/>
  <sheetViews>
    <sheetView showGridLines="0" zoomScale="74" zoomScaleNormal="74" workbookViewId="0">
      <selection activeCell="G31" sqref="G31:G35"/>
    </sheetView>
  </sheetViews>
  <sheetFormatPr baseColWidth="10" defaultRowHeight="16" x14ac:dyDescent="0.2"/>
  <cols>
    <col min="2" max="2" width="33.1640625" bestFit="1" customWidth="1"/>
    <col min="3" max="3" width="17.33203125" customWidth="1"/>
    <col min="4" max="4" width="18" customWidth="1"/>
  </cols>
  <sheetData>
    <row r="1" spans="1:4" x14ac:dyDescent="0.2">
      <c r="A1" s="5"/>
    </row>
    <row r="5" spans="1:4" ht="31" thickBot="1" x14ac:dyDescent="0.4">
      <c r="B5" s="7" t="s">
        <v>20</v>
      </c>
      <c r="C5" s="8"/>
      <c r="D5" s="8"/>
    </row>
    <row r="6" spans="1:4" ht="17" thickTop="1" x14ac:dyDescent="0.2">
      <c r="B6" s="28" t="s">
        <v>16</v>
      </c>
      <c r="C6" s="42">
        <v>500</v>
      </c>
      <c r="D6" s="43"/>
    </row>
    <row r="7" spans="1:4" x14ac:dyDescent="0.2">
      <c r="B7" s="29" t="s">
        <v>17</v>
      </c>
      <c r="C7" s="44">
        <v>0.15</v>
      </c>
      <c r="D7" s="45"/>
    </row>
    <row r="8" spans="1:4" ht="17" thickBot="1" x14ac:dyDescent="0.25">
      <c r="B8" s="30" t="s">
        <v>18</v>
      </c>
      <c r="C8" s="46">
        <f>C6*0.25</f>
        <v>125</v>
      </c>
      <c r="D8" s="47"/>
    </row>
    <row r="9" spans="1:4" ht="17" thickTop="1" x14ac:dyDescent="0.2">
      <c r="B9" s="8"/>
      <c r="C9" s="8"/>
      <c r="D9" s="8"/>
    </row>
    <row r="10" spans="1:4" ht="17" thickBot="1" x14ac:dyDescent="0.25">
      <c r="B10" s="8"/>
      <c r="C10" s="8"/>
      <c r="D10" s="8"/>
    </row>
    <row r="11" spans="1:4" ht="17" thickTop="1" x14ac:dyDescent="0.2">
      <c r="B11" s="22" t="s">
        <v>10</v>
      </c>
      <c r="C11" s="48">
        <v>500</v>
      </c>
      <c r="D11" s="49"/>
    </row>
    <row r="12" spans="1:4" x14ac:dyDescent="0.2">
      <c r="B12" s="23" t="s">
        <v>0</v>
      </c>
      <c r="C12" s="9">
        <v>4</v>
      </c>
      <c r="D12" s="24" t="s">
        <v>5</v>
      </c>
    </row>
    <row r="13" spans="1:4" x14ac:dyDescent="0.2">
      <c r="B13" s="25" t="s">
        <v>1</v>
      </c>
      <c r="C13" s="10">
        <v>0.02</v>
      </c>
      <c r="D13" s="24" t="s">
        <v>4</v>
      </c>
    </row>
    <row r="14" spans="1:4" x14ac:dyDescent="0.2">
      <c r="B14" s="26" t="s">
        <v>2</v>
      </c>
      <c r="C14" s="50">
        <f>VLOOKUP($D$12&amp;"-"&amp;$D$13,tbl_patr_Acum[],2,FALSE)</f>
        <v>39676.759637485695</v>
      </c>
      <c r="D14" s="51"/>
    </row>
    <row r="15" spans="1:4" ht="17" thickBot="1" x14ac:dyDescent="0.25">
      <c r="B15" s="27" t="s">
        <v>3</v>
      </c>
      <c r="C15" s="52">
        <f>patrimonio_acumulado*rendimento_carteira</f>
        <v>5951.5139456228544</v>
      </c>
      <c r="D15" s="53"/>
    </row>
    <row r="16" spans="1:4" ht="17" thickTop="1" x14ac:dyDescent="0.2">
      <c r="B16" s="8"/>
      <c r="C16" s="11"/>
      <c r="D16" s="12"/>
    </row>
    <row r="17" spans="1:4" ht="9" customHeight="1" thickBot="1" x14ac:dyDescent="0.25">
      <c r="B17" s="8"/>
      <c r="C17" s="12"/>
      <c r="D17" s="12"/>
    </row>
    <row r="18" spans="1:4" ht="17" thickTop="1" x14ac:dyDescent="0.2">
      <c r="B18" s="14" t="s">
        <v>21</v>
      </c>
      <c r="C18" s="15" t="s">
        <v>19</v>
      </c>
      <c r="D18" s="16" t="s">
        <v>3</v>
      </c>
    </row>
    <row r="19" spans="1:4" x14ac:dyDescent="0.2">
      <c r="A19" s="6">
        <v>3</v>
      </c>
      <c r="B19" s="17" t="s">
        <v>11</v>
      </c>
      <c r="C19" s="13">
        <f>VLOOKUP($D$12&amp;"-"&amp;$D$13,tbl_patr_Acum[],$A19,FALSE)</f>
        <v>15210.931236880626</v>
      </c>
      <c r="D19" s="18">
        <f>C19*rendimento_carteira</f>
        <v>2281.6396855320936</v>
      </c>
    </row>
    <row r="20" spans="1:4" x14ac:dyDescent="0.2">
      <c r="A20" s="6">
        <v>4</v>
      </c>
      <c r="B20" s="17" t="s">
        <v>12</v>
      </c>
      <c r="C20" s="13">
        <f>VLOOKUP($D$12&amp;"-"&amp;$D$13,tbl_patr_Acum[],$A20,FALSE)</f>
        <v>57025.769709135253</v>
      </c>
      <c r="D20" s="18">
        <f>C20*rendimento_carteira</f>
        <v>8553.8654563702876</v>
      </c>
    </row>
    <row r="21" spans="1:4" x14ac:dyDescent="0.2">
      <c r="A21" s="6">
        <v>5</v>
      </c>
      <c r="B21" s="17" t="s">
        <v>13</v>
      </c>
      <c r="C21" s="13">
        <f>VLOOKUP($D$12&amp;"-"&amp;$D$13,tbl_patr_Acum[],$A21,FALSE)</f>
        <v>244129.07585504357</v>
      </c>
      <c r="D21" s="18">
        <f>C21*rendimento_carteira</f>
        <v>36619.361378256537</v>
      </c>
    </row>
    <row r="22" spans="1:4" x14ac:dyDescent="0.2">
      <c r="A22" s="6">
        <v>6</v>
      </c>
      <c r="B22" s="17" t="s">
        <v>14</v>
      </c>
      <c r="C22" s="13">
        <f>VLOOKUP($D$12&amp;"-"&amp;$D$13,tbl_patr_Acum[],$A22,FALSE)</f>
        <v>2872218.3788235923</v>
      </c>
      <c r="D22" s="18">
        <f>C22*rendimento_carteira</f>
        <v>430832.75682353886</v>
      </c>
    </row>
    <row r="23" spans="1:4" ht="17" thickBot="1" x14ac:dyDescent="0.25">
      <c r="A23" s="6">
        <v>7</v>
      </c>
      <c r="B23" s="19" t="s">
        <v>15</v>
      </c>
      <c r="C23" s="20">
        <f>VLOOKUP($D$12&amp;"-"&amp;$D$13,tbl_patr_Acum[],$A23,FALSE)</f>
        <v>31164028.193721645</v>
      </c>
      <c r="D23" s="21">
        <f>C23*rendimento_carteira</f>
        <v>4674604.2290582461</v>
      </c>
    </row>
    <row r="24" spans="1:4" ht="17" thickTop="1" x14ac:dyDescent="0.2">
      <c r="A24" s="6"/>
      <c r="B24" s="4"/>
    </row>
    <row r="26" spans="1:4" ht="31" thickBot="1" x14ac:dyDescent="0.4">
      <c r="B26" s="7" t="s">
        <v>29</v>
      </c>
      <c r="C26" s="8"/>
      <c r="D26" s="8"/>
    </row>
    <row r="27" spans="1:4" ht="17" thickBot="1" x14ac:dyDescent="0.25">
      <c r="B27" s="31" t="s">
        <v>32</v>
      </c>
      <c r="C27" s="40" t="s">
        <v>33</v>
      </c>
      <c r="D27" s="41"/>
    </row>
    <row r="28" spans="1:4" ht="17" thickBot="1" x14ac:dyDescent="0.25"/>
    <row r="29" spans="1:4" ht="17" thickTop="1" x14ac:dyDescent="0.2">
      <c r="B29" s="14" t="s">
        <v>28</v>
      </c>
      <c r="C29" s="15" t="s">
        <v>31</v>
      </c>
      <c r="D29" s="16" t="s">
        <v>30</v>
      </c>
    </row>
    <row r="30" spans="1:4" x14ac:dyDescent="0.2">
      <c r="B30" s="17" t="s">
        <v>22</v>
      </c>
      <c r="C30" s="38">
        <f>VLOOKUP(gvhj3&amp;"-"&amp;B30,tbl_sugestao[],2,FALSE)</f>
        <v>0.3</v>
      </c>
      <c r="D30" s="18">
        <f t="shared" ref="D30:D35" si="0">C30*aporte</f>
        <v>150</v>
      </c>
    </row>
    <row r="31" spans="1:4" x14ac:dyDescent="0.2">
      <c r="B31" s="17" t="s">
        <v>23</v>
      </c>
      <c r="C31" s="38">
        <f>VLOOKUP(gvhj3&amp;"-"&amp;B31,tbl_sugestao[],2,FALSE)</f>
        <v>0.6</v>
      </c>
      <c r="D31" s="18">
        <f t="shared" si="0"/>
        <v>300</v>
      </c>
    </row>
    <row r="32" spans="1:4" x14ac:dyDescent="0.2">
      <c r="B32" s="17" t="s">
        <v>24</v>
      </c>
      <c r="C32" s="38">
        <f>VLOOKUP(gvhj3&amp;"-"&amp;B32,tbl_sugestao[],2,FALSE)</f>
        <v>0.05</v>
      </c>
      <c r="D32" s="18">
        <f t="shared" si="0"/>
        <v>25</v>
      </c>
    </row>
    <row r="33" spans="2:4" x14ac:dyDescent="0.2">
      <c r="B33" s="17" t="s">
        <v>27</v>
      </c>
      <c r="C33" s="38">
        <f>VLOOKUP(gvhj3&amp;"-"&amp;B33,tbl_sugestao[],2,FALSE)</f>
        <v>0.05</v>
      </c>
      <c r="D33" s="18">
        <f t="shared" si="0"/>
        <v>25</v>
      </c>
    </row>
    <row r="34" spans="2:4" x14ac:dyDescent="0.2">
      <c r="B34" s="17" t="s">
        <v>25</v>
      </c>
      <c r="C34" s="38">
        <f>VLOOKUP(gvhj3&amp;"-"&amp;B34,tbl_sugestao[],2,FALSE)</f>
        <v>0</v>
      </c>
      <c r="D34" s="18">
        <f t="shared" si="0"/>
        <v>0</v>
      </c>
    </row>
    <row r="35" spans="2:4" ht="17" thickBot="1" x14ac:dyDescent="0.25">
      <c r="B35" s="19" t="s">
        <v>26</v>
      </c>
      <c r="C35" s="39">
        <f>VLOOKUP(gvhj3&amp;"-"&amp;B35,tbl_sugestao[],2,FALSE)</f>
        <v>0</v>
      </c>
      <c r="D35" s="21">
        <f t="shared" si="0"/>
        <v>0</v>
      </c>
    </row>
    <row r="36" spans="2:4" ht="17" thickTop="1" x14ac:dyDescent="0.2"/>
  </sheetData>
  <mergeCells count="7">
    <mergeCell ref="C27:D27"/>
    <mergeCell ref="C6:D6"/>
    <mergeCell ref="C7:D7"/>
    <mergeCell ref="C8:D8"/>
    <mergeCell ref="C11:D11"/>
    <mergeCell ref="C14:D14"/>
    <mergeCell ref="C15:D15"/>
  </mergeCells>
  <dataValidations count="3">
    <dataValidation type="list" allowBlank="1" showInputMessage="1" showErrorMessage="1" sqref="C27:D27" xr:uid="{60873C29-E545-2543-A570-841A94D03F9F}">
      <formula1>"Conservador,Moderado,Agressivo"</formula1>
    </dataValidation>
    <dataValidation type="list" allowBlank="1" showInputMessage="1" showErrorMessage="1" sqref="D13" xr:uid="{A2301985-A523-6E45-847D-419D0B76442A}">
      <formula1>"Anual,Mensal"</formula1>
    </dataValidation>
    <dataValidation type="list" allowBlank="1" showInputMessage="1" showErrorMessage="1" sqref="D12" xr:uid="{A6CEC80B-46E9-5E4A-AA8E-7EC94EB0BC36}">
      <formula1>"Anos,Meses"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FA47-29B7-DD41-90A3-8D3EED8C38A9}">
  <dimension ref="A1:K70"/>
  <sheetViews>
    <sheetView showGridLines="0" tabSelected="1" zoomScale="125" zoomScaleNormal="125" workbookViewId="0">
      <selection activeCell="F16" sqref="F16"/>
    </sheetView>
  </sheetViews>
  <sheetFormatPr baseColWidth="10" defaultColWidth="0" defaultRowHeight="16" x14ac:dyDescent="0.2"/>
  <cols>
    <col min="1" max="1" width="10.83203125" style="58" customWidth="1"/>
    <col min="2" max="2" width="33.1640625" bestFit="1" customWidth="1"/>
    <col min="3" max="3" width="17.33203125" customWidth="1"/>
    <col min="4" max="4" width="18" customWidth="1"/>
    <col min="5" max="7" width="10.83203125" style="58" customWidth="1"/>
    <col min="12" max="16384" width="10.83203125" hidden="1"/>
  </cols>
  <sheetData>
    <row r="1" spans="1:6" s="58" customFormat="1" ht="17" thickBot="1" x14ac:dyDescent="0.25">
      <c r="A1" s="60"/>
    </row>
    <row r="2" spans="1:6" ht="59" customHeight="1" thickBot="1" x14ac:dyDescent="0.25">
      <c r="A2" s="61"/>
      <c r="B2" s="54" t="s">
        <v>62</v>
      </c>
      <c r="C2" s="55"/>
      <c r="D2" s="56"/>
    </row>
    <row r="3" spans="1:6" s="58" customFormat="1" x14ac:dyDescent="0.2"/>
    <row r="4" spans="1:6" s="58" customFormat="1" ht="31" thickBot="1" x14ac:dyDescent="0.4">
      <c r="B4" s="57" t="s">
        <v>20</v>
      </c>
      <c r="C4" s="59"/>
      <c r="D4" s="59"/>
    </row>
    <row r="5" spans="1:6" ht="17" thickTop="1" x14ac:dyDescent="0.2">
      <c r="B5" s="28" t="s">
        <v>16</v>
      </c>
      <c r="C5" s="63">
        <v>500</v>
      </c>
      <c r="D5" s="64"/>
    </row>
    <row r="6" spans="1:6" x14ac:dyDescent="0.2">
      <c r="B6" s="29" t="s">
        <v>60</v>
      </c>
      <c r="C6" s="65">
        <v>0.15</v>
      </c>
      <c r="D6" s="66"/>
    </row>
    <row r="7" spans="1:6" ht="17" thickBot="1" x14ac:dyDescent="0.25">
      <c r="B7" s="30" t="s">
        <v>18</v>
      </c>
      <c r="C7" s="67">
        <f>C5*0.25</f>
        <v>125</v>
      </c>
      <c r="D7" s="68"/>
    </row>
    <row r="8" spans="1:6" s="58" customFormat="1" ht="17" thickTop="1" x14ac:dyDescent="0.2">
      <c r="B8" s="59"/>
      <c r="C8" s="59"/>
      <c r="D8" s="59"/>
    </row>
    <row r="9" spans="1:6" s="58" customFormat="1" ht="17" thickBot="1" x14ac:dyDescent="0.25">
      <c r="A9" s="76"/>
      <c r="B9" s="59"/>
      <c r="C9" s="59"/>
      <c r="D9" s="59"/>
    </row>
    <row r="10" spans="1:6" ht="17" thickTop="1" x14ac:dyDescent="0.2">
      <c r="A10" s="76"/>
      <c r="B10" s="22" t="s">
        <v>10</v>
      </c>
      <c r="C10" s="69">
        <v>500</v>
      </c>
      <c r="D10" s="70"/>
    </row>
    <row r="11" spans="1:6" x14ac:dyDescent="0.2">
      <c r="A11" s="76"/>
      <c r="B11" s="23" t="s">
        <v>0</v>
      </c>
      <c r="C11" s="71">
        <v>4</v>
      </c>
      <c r="D11" s="72" t="s">
        <v>5</v>
      </c>
    </row>
    <row r="12" spans="1:6" x14ac:dyDescent="0.2">
      <c r="B12" s="25" t="s">
        <v>59</v>
      </c>
      <c r="C12" s="73">
        <v>0.02</v>
      </c>
      <c r="D12" s="72" t="s">
        <v>4</v>
      </c>
    </row>
    <row r="13" spans="1:6" x14ac:dyDescent="0.2">
      <c r="B13" s="26" t="s">
        <v>2</v>
      </c>
      <c r="C13" s="50">
        <f>VLOOKUP($D$11&amp;"-"&amp;$D$12,tbl_patr_Acum[],2,FALSE)</f>
        <v>39676.759637485695</v>
      </c>
      <c r="D13" s="51"/>
      <c r="F13" s="80"/>
    </row>
    <row r="14" spans="1:6" ht="17" thickBot="1" x14ac:dyDescent="0.25">
      <c r="B14" s="27" t="s">
        <v>3</v>
      </c>
      <c r="C14" s="52">
        <f>patrimonio_acumulado*rendimento_carteira</f>
        <v>5951.5139456228544</v>
      </c>
      <c r="D14" s="53"/>
      <c r="F14" s="80"/>
    </row>
    <row r="15" spans="1:6" ht="17" thickTop="1" x14ac:dyDescent="0.2">
      <c r="B15" s="77"/>
      <c r="C15" s="78"/>
      <c r="D15" s="79"/>
      <c r="F15" s="80"/>
    </row>
    <row r="16" spans="1:6" ht="9" customHeight="1" thickBot="1" x14ac:dyDescent="0.25">
      <c r="B16" s="77"/>
      <c r="C16" s="79"/>
      <c r="D16" s="79"/>
      <c r="F16" s="80"/>
    </row>
    <row r="17" spans="1:6" ht="17" thickTop="1" x14ac:dyDescent="0.2">
      <c r="B17" s="14" t="s">
        <v>21</v>
      </c>
      <c r="C17" s="15" t="s">
        <v>19</v>
      </c>
      <c r="D17" s="16" t="s">
        <v>3</v>
      </c>
      <c r="F17" s="80"/>
    </row>
    <row r="18" spans="1:6" x14ac:dyDescent="0.2">
      <c r="A18" s="62">
        <v>3</v>
      </c>
      <c r="B18" s="17" t="s">
        <v>11</v>
      </c>
      <c r="C18" s="13">
        <f>VLOOKUP($D$11&amp;"-"&amp;$D$12,tbl_patr_Acum[],$A18,FALSE)</f>
        <v>15210.931236880626</v>
      </c>
      <c r="D18" s="18">
        <f>C18*rendimento_carteira</f>
        <v>2281.6396855320936</v>
      </c>
      <c r="F18" s="80"/>
    </row>
    <row r="19" spans="1:6" x14ac:dyDescent="0.2">
      <c r="A19" s="62">
        <v>4</v>
      </c>
      <c r="B19" s="17" t="s">
        <v>12</v>
      </c>
      <c r="C19" s="13">
        <f>VLOOKUP($D$11&amp;"-"&amp;$D$12,tbl_patr_Acum[],$A19,FALSE)</f>
        <v>57025.769709135253</v>
      </c>
      <c r="D19" s="18">
        <f>C19*rendimento_carteira</f>
        <v>8553.8654563702876</v>
      </c>
      <c r="F19" s="80"/>
    </row>
    <row r="20" spans="1:6" x14ac:dyDescent="0.2">
      <c r="A20" s="62">
        <v>5</v>
      </c>
      <c r="B20" s="17" t="s">
        <v>13</v>
      </c>
      <c r="C20" s="13">
        <f>VLOOKUP($D$11&amp;"-"&amp;$D$12,tbl_patr_Acum[],$A20,FALSE)</f>
        <v>244129.07585504357</v>
      </c>
      <c r="D20" s="18">
        <f>C20*rendimento_carteira</f>
        <v>36619.361378256537</v>
      </c>
      <c r="F20" s="80"/>
    </row>
    <row r="21" spans="1:6" x14ac:dyDescent="0.2">
      <c r="A21" s="62">
        <v>6</v>
      </c>
      <c r="B21" s="17" t="s">
        <v>14</v>
      </c>
      <c r="C21" s="13">
        <f>VLOOKUP($D$11&amp;"-"&amp;$D$12,tbl_patr_Acum[],$A21,FALSE)</f>
        <v>2872218.3788235923</v>
      </c>
      <c r="D21" s="18">
        <f>C21*rendimento_carteira</f>
        <v>430832.75682353886</v>
      </c>
      <c r="F21" s="80"/>
    </row>
    <row r="22" spans="1:6" ht="17" thickBot="1" x14ac:dyDescent="0.25">
      <c r="A22" s="62">
        <v>7</v>
      </c>
      <c r="B22" s="19" t="s">
        <v>15</v>
      </c>
      <c r="C22" s="20">
        <f>VLOOKUP($D$11&amp;"-"&amp;$D$12,tbl_patr_Acum[],$A22,FALSE)</f>
        <v>31164028.193721645</v>
      </c>
      <c r="D22" s="21">
        <f>C22*rendimento_carteira</f>
        <v>4674604.2290582461</v>
      </c>
      <c r="F22" s="80"/>
    </row>
    <row r="23" spans="1:6" s="80" customFormat="1" ht="17" thickTop="1" x14ac:dyDescent="0.2">
      <c r="A23" s="81"/>
      <c r="B23" s="82"/>
    </row>
    <row r="24" spans="1:6" s="80" customFormat="1" x14ac:dyDescent="0.2"/>
    <row r="25" spans="1:6" s="80" customFormat="1" ht="31" thickBot="1" x14ac:dyDescent="0.4">
      <c r="B25" s="83" t="s">
        <v>61</v>
      </c>
      <c r="C25" s="84"/>
      <c r="D25" s="84"/>
    </row>
    <row r="26" spans="1:6" ht="17" thickBot="1" x14ac:dyDescent="0.25">
      <c r="B26" s="31" t="s">
        <v>32</v>
      </c>
      <c r="C26" s="74" t="s">
        <v>33</v>
      </c>
      <c r="D26" s="75"/>
      <c r="F26" s="80"/>
    </row>
    <row r="27" spans="1:6" s="80" customFormat="1" ht="17" thickBot="1" x14ac:dyDescent="0.25"/>
    <row r="28" spans="1:6" ht="17" thickTop="1" x14ac:dyDescent="0.2">
      <c r="B28" s="14" t="s">
        <v>28</v>
      </c>
      <c r="C28" s="15" t="s">
        <v>31</v>
      </c>
      <c r="D28" s="16" t="s">
        <v>30</v>
      </c>
      <c r="F28" s="80"/>
    </row>
    <row r="29" spans="1:6" x14ac:dyDescent="0.2">
      <c r="B29" s="17" t="s">
        <v>22</v>
      </c>
      <c r="C29" s="38">
        <f>VLOOKUP(gvhj3&amp;"-"&amp;B29,tbl_sugestao[],2,FALSE)</f>
        <v>0.3</v>
      </c>
      <c r="D29" s="18">
        <f t="shared" ref="D29:D34" si="0">C29*aporte</f>
        <v>150</v>
      </c>
      <c r="F29" s="80"/>
    </row>
    <row r="30" spans="1:6" x14ac:dyDescent="0.2">
      <c r="B30" s="17" t="s">
        <v>23</v>
      </c>
      <c r="C30" s="38">
        <f>VLOOKUP(gvhj3&amp;"-"&amp;B30,tbl_sugestao[],2,FALSE)</f>
        <v>0.6</v>
      </c>
      <c r="D30" s="18">
        <f t="shared" si="0"/>
        <v>300</v>
      </c>
      <c r="F30" s="80"/>
    </row>
    <row r="31" spans="1:6" x14ac:dyDescent="0.2">
      <c r="B31" s="17" t="s">
        <v>24</v>
      </c>
      <c r="C31" s="38">
        <f>VLOOKUP(gvhj3&amp;"-"&amp;B31,tbl_sugestao[],2,FALSE)</f>
        <v>0.05</v>
      </c>
      <c r="D31" s="18">
        <f t="shared" si="0"/>
        <v>25</v>
      </c>
      <c r="F31" s="80"/>
    </row>
    <row r="32" spans="1:6" x14ac:dyDescent="0.2">
      <c r="B32" s="17" t="s">
        <v>27</v>
      </c>
      <c r="C32" s="38">
        <f>VLOOKUP(gvhj3&amp;"-"&amp;B32,tbl_sugestao[],2,FALSE)</f>
        <v>0.05</v>
      </c>
      <c r="D32" s="18">
        <f t="shared" si="0"/>
        <v>25</v>
      </c>
    </row>
    <row r="33" spans="2:4" x14ac:dyDescent="0.2">
      <c r="B33" s="17" t="s">
        <v>25</v>
      </c>
      <c r="C33" s="38">
        <f>VLOOKUP(gvhj3&amp;"-"&amp;B33,tbl_sugestao[],2,FALSE)</f>
        <v>0</v>
      </c>
      <c r="D33" s="18">
        <f t="shared" si="0"/>
        <v>0</v>
      </c>
    </row>
    <row r="34" spans="2:4" ht="17" thickBot="1" x14ac:dyDescent="0.25">
      <c r="B34" s="19" t="s">
        <v>26</v>
      </c>
      <c r="C34" s="39">
        <f>VLOOKUP(gvhj3&amp;"-"&amp;B34,tbl_sugestao[],2,FALSE)</f>
        <v>0</v>
      </c>
      <c r="D34" s="21">
        <f t="shared" si="0"/>
        <v>0</v>
      </c>
    </row>
    <row r="35" spans="2:4" s="80" customFormat="1" ht="17" thickTop="1" x14ac:dyDescent="0.2"/>
    <row r="36" spans="2:4" s="80" customFormat="1" x14ac:dyDescent="0.2"/>
    <row r="37" spans="2:4" s="80" customFormat="1" x14ac:dyDescent="0.2"/>
    <row r="38" spans="2:4" s="80" customFormat="1" x14ac:dyDescent="0.2"/>
    <row r="39" spans="2:4" s="80" customFormat="1" x14ac:dyDescent="0.2"/>
    <row r="40" spans="2:4" s="80" customFormat="1" x14ac:dyDescent="0.2"/>
    <row r="41" spans="2:4" s="80" customFormat="1" x14ac:dyDescent="0.2"/>
    <row r="42" spans="2:4" s="80" customFormat="1" x14ac:dyDescent="0.2"/>
    <row r="43" spans="2:4" s="80" customFormat="1" x14ac:dyDescent="0.2"/>
    <row r="44" spans="2:4" s="80" customFormat="1" x14ac:dyDescent="0.2"/>
    <row r="45" spans="2:4" s="80" customFormat="1" x14ac:dyDescent="0.2"/>
    <row r="46" spans="2:4" s="80" customFormat="1" x14ac:dyDescent="0.2"/>
    <row r="47" spans="2:4" s="80" customFormat="1" x14ac:dyDescent="0.2"/>
    <row r="48" spans="2:4" s="80" customFormat="1" x14ac:dyDescent="0.2"/>
    <row r="49" s="80" customFormat="1" x14ac:dyDescent="0.2"/>
    <row r="50" s="80" customFormat="1" x14ac:dyDescent="0.2"/>
    <row r="51" s="80" customFormat="1" x14ac:dyDescent="0.2"/>
    <row r="52" s="80" customFormat="1" x14ac:dyDescent="0.2"/>
    <row r="53" s="80" customFormat="1" x14ac:dyDescent="0.2"/>
    <row r="54" s="80" customFormat="1" x14ac:dyDescent="0.2"/>
    <row r="55" s="80" customFormat="1" x14ac:dyDescent="0.2"/>
    <row r="56" s="80" customFormat="1" x14ac:dyDescent="0.2"/>
    <row r="57" s="80" customFormat="1" x14ac:dyDescent="0.2"/>
    <row r="58" s="80" customFormat="1" x14ac:dyDescent="0.2"/>
    <row r="59" s="80" customFormat="1" x14ac:dyDescent="0.2"/>
    <row r="60" s="80" customFormat="1" x14ac:dyDescent="0.2"/>
    <row r="61" s="80" customFormat="1" x14ac:dyDescent="0.2"/>
    <row r="62" s="80" customFormat="1" x14ac:dyDescent="0.2"/>
    <row r="63" s="80" customFormat="1" x14ac:dyDescent="0.2"/>
    <row r="64" s="80" customFormat="1" x14ac:dyDescent="0.2"/>
    <row r="65" s="80" customFormat="1" x14ac:dyDescent="0.2"/>
    <row r="66" s="80" customFormat="1" x14ac:dyDescent="0.2"/>
    <row r="67" s="80" customFormat="1" x14ac:dyDescent="0.2"/>
    <row r="68" s="80" customFormat="1" x14ac:dyDescent="0.2"/>
    <row r="69" s="80" customFormat="1" x14ac:dyDescent="0.2"/>
    <row r="70" s="80" customFormat="1" x14ac:dyDescent="0.2"/>
  </sheetData>
  <mergeCells count="8">
    <mergeCell ref="B2:D2"/>
    <mergeCell ref="C5:D5"/>
    <mergeCell ref="C6:D6"/>
    <mergeCell ref="C7:D7"/>
    <mergeCell ref="C26:D26"/>
    <mergeCell ref="C10:D10"/>
    <mergeCell ref="C13:D13"/>
    <mergeCell ref="C14:D14"/>
  </mergeCells>
  <phoneticPr fontId="9" type="noConversion"/>
  <dataValidations count="3">
    <dataValidation type="list" allowBlank="1" showInputMessage="1" showErrorMessage="1" sqref="D11" xr:uid="{B059A0BD-0187-294E-BFE5-495E90568D5E}">
      <formula1>"Anos,Meses"</formula1>
    </dataValidation>
    <dataValidation type="list" allowBlank="1" showInputMessage="1" showErrorMessage="1" sqref="D12" xr:uid="{D77BBA1B-8B62-954F-9798-DAD457F61B23}">
      <formula1>"Anual,Mensal"</formula1>
    </dataValidation>
    <dataValidation type="list" allowBlank="1" showInputMessage="1" showErrorMessage="1" sqref="C26:D26" xr:uid="{B5728DF4-F3A7-C147-B1AC-475BAB65C3CB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11AE-A7E3-7F4F-9617-F0BF774800A5}">
  <dimension ref="B2:H29"/>
  <sheetViews>
    <sheetView zoomScale="162" workbookViewId="0">
      <selection activeCell="D21" sqref="D21"/>
    </sheetView>
  </sheetViews>
  <sheetFormatPr baseColWidth="10" defaultRowHeight="16" x14ac:dyDescent="0.2"/>
  <cols>
    <col min="2" max="2" width="27" bestFit="1" customWidth="1"/>
    <col min="3" max="3" width="14.6640625" bestFit="1" customWidth="1"/>
    <col min="4" max="5" width="20.6640625" bestFit="1" customWidth="1"/>
    <col min="6" max="8" width="21.6640625" bestFit="1" customWidth="1"/>
  </cols>
  <sheetData>
    <row r="2" spans="2:8" x14ac:dyDescent="0.2">
      <c r="D2">
        <v>2</v>
      </c>
      <c r="E2">
        <v>5</v>
      </c>
      <c r="F2">
        <v>10</v>
      </c>
      <c r="G2">
        <v>20</v>
      </c>
      <c r="H2">
        <v>30</v>
      </c>
    </row>
    <row r="3" spans="2:8" x14ac:dyDescent="0.2">
      <c r="B3" t="s">
        <v>52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</row>
    <row r="4" spans="2:8" x14ac:dyDescent="0.2">
      <c r="B4" s="33" t="s">
        <v>9</v>
      </c>
      <c r="C4" s="2">
        <f>FV(taxa_,periodo/12,aporte)*-1</f>
        <v>165.56773900282539</v>
      </c>
      <c r="D4" s="2">
        <f>FV(taxa_,D$2,aporte)*-1</f>
        <v>1009.9999999999998</v>
      </c>
      <c r="E4" s="2">
        <f>FV(taxa_,E$2,aporte)*-1</f>
        <v>2602.0200800000002</v>
      </c>
      <c r="F4" s="2">
        <f>FV(taxa_,F$2,aporte)*-1</f>
        <v>5474.860499868927</v>
      </c>
      <c r="G4" s="2">
        <f>FV(taxa_,G$2,aporte)*-1</f>
        <v>12148.684899458854</v>
      </c>
      <c r="H4" s="2">
        <f>FV(taxa_,H$2,aporte)*-1</f>
        <v>20284.039602583834</v>
      </c>
    </row>
    <row r="5" spans="2:8" x14ac:dyDescent="0.2">
      <c r="B5" s="33" t="s">
        <v>6</v>
      </c>
      <c r="C5" s="2">
        <f>FV(taxa_,periodo*12,aporte)*-1</f>
        <v>39676.759637485695</v>
      </c>
      <c r="D5" s="2">
        <f t="shared" ref="D5:H6" si="0">FV(taxa_,D$2*12,aporte)*-1</f>
        <v>15210.931236880626</v>
      </c>
      <c r="E5" s="2">
        <f t="shared" si="0"/>
        <v>57025.769709135253</v>
      </c>
      <c r="F5" s="2">
        <f t="shared" si="0"/>
        <v>244129.07585504357</v>
      </c>
      <c r="G5" s="2">
        <f t="shared" si="0"/>
        <v>2872218.3788235923</v>
      </c>
      <c r="H5" s="2">
        <f t="shared" si="0"/>
        <v>31164028.193721645</v>
      </c>
    </row>
    <row r="6" spans="2:8" x14ac:dyDescent="0.2">
      <c r="B6" s="33" t="s">
        <v>7</v>
      </c>
      <c r="C6" s="2">
        <f>FV(taxa_,periodo,aporte)*-1</f>
        <v>2060.8039999999992</v>
      </c>
      <c r="D6" s="2">
        <f t="shared" si="0"/>
        <v>15210.931236880626</v>
      </c>
      <c r="E6" s="2">
        <f t="shared" si="0"/>
        <v>57025.769709135253</v>
      </c>
      <c r="F6" s="2">
        <f t="shared" si="0"/>
        <v>244129.07585504357</v>
      </c>
      <c r="G6" s="2">
        <f t="shared" si="0"/>
        <v>2872218.3788235923</v>
      </c>
      <c r="H6" s="2">
        <f t="shared" si="0"/>
        <v>31164028.193721645</v>
      </c>
    </row>
    <row r="7" spans="2:8" x14ac:dyDescent="0.2">
      <c r="B7" s="33" t="s">
        <v>8</v>
      </c>
      <c r="C7" s="2">
        <f>FV(taxa_,periodo,aporte)*-1</f>
        <v>2060.8039999999992</v>
      </c>
      <c r="D7" s="2">
        <f>FV(taxa_,D$2,aporte)*-1</f>
        <v>1009.9999999999998</v>
      </c>
      <c r="E7" s="2">
        <f>FV(taxa_,E$2,aporte)*-1</f>
        <v>2602.0200800000002</v>
      </c>
      <c r="F7" s="2">
        <f>FV(taxa_,F$2,aporte)*-1</f>
        <v>5474.860499868927</v>
      </c>
      <c r="G7" s="2">
        <f>FV(taxa_,G$2,aporte)*-1</f>
        <v>12148.684899458854</v>
      </c>
      <c r="H7" s="2">
        <f>FV(taxa_,H$2,aporte)*-1</f>
        <v>20284.039602583834</v>
      </c>
    </row>
    <row r="10" spans="2:8" ht="17" thickBot="1" x14ac:dyDescent="0.25"/>
    <row r="11" spans="2:8" ht="17" thickBot="1" x14ac:dyDescent="0.25">
      <c r="B11" s="32" t="s">
        <v>52</v>
      </c>
      <c r="C11" t="s">
        <v>31</v>
      </c>
    </row>
    <row r="12" spans="2:8" x14ac:dyDescent="0.2">
      <c r="B12" s="33" t="s">
        <v>40</v>
      </c>
      <c r="C12" s="3">
        <v>0.3</v>
      </c>
    </row>
    <row r="13" spans="2:8" x14ac:dyDescent="0.2">
      <c r="B13" s="33" t="s">
        <v>41</v>
      </c>
      <c r="C13" s="3">
        <v>0.6</v>
      </c>
    </row>
    <row r="14" spans="2:8" x14ac:dyDescent="0.2">
      <c r="B14" s="33" t="s">
        <v>42</v>
      </c>
      <c r="C14" s="3">
        <v>0.05</v>
      </c>
    </row>
    <row r="15" spans="2:8" x14ac:dyDescent="0.2">
      <c r="B15" s="33" t="s">
        <v>44</v>
      </c>
      <c r="C15" s="3">
        <v>0.05</v>
      </c>
    </row>
    <row r="16" spans="2:8" x14ac:dyDescent="0.2">
      <c r="B16" s="33" t="s">
        <v>43</v>
      </c>
      <c r="C16" s="3">
        <v>0</v>
      </c>
    </row>
    <row r="17" spans="2:3" ht="17" thickBot="1" x14ac:dyDescent="0.25">
      <c r="B17" s="34" t="s">
        <v>45</v>
      </c>
      <c r="C17" s="36">
        <v>0</v>
      </c>
    </row>
    <row r="18" spans="2:3" x14ac:dyDescent="0.2">
      <c r="B18" s="35" t="s">
        <v>46</v>
      </c>
      <c r="C18" s="37">
        <v>0.3</v>
      </c>
    </row>
    <row r="19" spans="2:3" x14ac:dyDescent="0.2">
      <c r="B19" s="33" t="s">
        <v>47</v>
      </c>
      <c r="C19" s="3">
        <v>0.4</v>
      </c>
    </row>
    <row r="20" spans="2:3" x14ac:dyDescent="0.2">
      <c r="B20" s="33" t="s">
        <v>48</v>
      </c>
      <c r="C20" s="3">
        <v>0.05</v>
      </c>
    </row>
    <row r="21" spans="2:3" x14ac:dyDescent="0.2">
      <c r="B21" s="33" t="s">
        <v>50</v>
      </c>
      <c r="C21" s="3">
        <v>0.1</v>
      </c>
    </row>
    <row r="22" spans="2:3" x14ac:dyDescent="0.2">
      <c r="B22" s="33" t="s">
        <v>49</v>
      </c>
      <c r="C22" s="3">
        <v>0.1</v>
      </c>
    </row>
    <row r="23" spans="2:3" ht="17" thickBot="1" x14ac:dyDescent="0.25">
      <c r="B23" s="34" t="s">
        <v>51</v>
      </c>
      <c r="C23" s="36">
        <v>0.05</v>
      </c>
    </row>
    <row r="24" spans="2:3" x14ac:dyDescent="0.2">
      <c r="B24" s="33" t="s">
        <v>53</v>
      </c>
      <c r="C24" s="1">
        <v>0.4</v>
      </c>
    </row>
    <row r="25" spans="2:3" x14ac:dyDescent="0.2">
      <c r="B25" s="33" t="s">
        <v>54</v>
      </c>
      <c r="C25" s="1">
        <v>0.1</v>
      </c>
    </row>
    <row r="26" spans="2:3" x14ac:dyDescent="0.2">
      <c r="B26" s="33" t="s">
        <v>55</v>
      </c>
      <c r="C26" s="1">
        <v>0.05</v>
      </c>
    </row>
    <row r="27" spans="2:3" x14ac:dyDescent="0.2">
      <c r="B27" s="33" t="s">
        <v>56</v>
      </c>
      <c r="C27" s="1">
        <v>0.15</v>
      </c>
    </row>
    <row r="28" spans="2:3" x14ac:dyDescent="0.2">
      <c r="B28" s="33" t="s">
        <v>57</v>
      </c>
      <c r="C28" s="1">
        <v>0.2</v>
      </c>
    </row>
    <row r="29" spans="2:3" x14ac:dyDescent="0.2">
      <c r="B29" s="33" t="s">
        <v>58</v>
      </c>
      <c r="C29" s="1">
        <v>0.1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20</vt:i4>
      </vt:variant>
    </vt:vector>
  </HeadingPairs>
  <TitlesOfParts>
    <vt:vector size="23" baseType="lpstr">
      <vt:lpstr>App (2)</vt:lpstr>
      <vt:lpstr>App</vt:lpstr>
      <vt:lpstr>Apoio</vt:lpstr>
      <vt:lpstr>'App (2)'!aporte</vt:lpstr>
      <vt:lpstr>aporte</vt:lpstr>
      <vt:lpstr>'App (2)'!dividendos</vt:lpstr>
      <vt:lpstr>dividendos</vt:lpstr>
      <vt:lpstr>'App (2)'!gvhj3</vt:lpstr>
      <vt:lpstr>gvhj3</vt:lpstr>
      <vt:lpstr>'App (2)'!patrimonio_acumulado</vt:lpstr>
      <vt:lpstr>patrimonio_acumulado</vt:lpstr>
      <vt:lpstr>'App (2)'!perfikl</vt:lpstr>
      <vt:lpstr>perfikl</vt:lpstr>
      <vt:lpstr>'App (2)'!perfil</vt:lpstr>
      <vt:lpstr>perfil</vt:lpstr>
      <vt:lpstr>'App (2)'!periodo</vt:lpstr>
      <vt:lpstr>periodo</vt:lpstr>
      <vt:lpstr>'App (2)'!rendimento_carteira</vt:lpstr>
      <vt:lpstr>rendimento_carteira</vt:lpstr>
      <vt:lpstr>'App (2)'!taxa</vt:lpstr>
      <vt:lpstr>taxa</vt:lpstr>
      <vt:lpstr>'App (2)'!taxa_</vt:lpstr>
      <vt:lpstr>taxa_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2025-12-22T22:57:14Z</dcterms:created>
  <dcterms:modified xsi:type="dcterms:W3CDTF">2026-02-01T00:46:45Z</dcterms:modified>
</cp:coreProperties>
</file>